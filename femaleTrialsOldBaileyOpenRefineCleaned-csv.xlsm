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workbookPr defaultThemeVersion="166925"/>
  <mc:AlternateContent xmlns:mc="http://schemas.openxmlformats.org/markup-compatibility/2006">
    <mc:Choice Requires="x15">
      <x15ac:absPath xmlns:x15ac="http://schemas.microsoft.com/office/spreadsheetml/2010/11/ac" url="/Users/IqbalAlibhai/Documents/School/HIST3814/PartFour/AttemptOne16740429/"/>
    </mc:Choice>
  </mc:AlternateContent>
  <xr:revisionPtr revIDLastSave="0" documentId="13_ncr:1_{A844F240-D6B1-714B-A601-C6EDE355C571}" xr6:coauthVersionLast="47" xr6:coauthVersionMax="47" xr10:uidLastSave="{00000000-0000-0000-0000-000000000000}"/>
  <bookViews>
    <workbookView xWindow="0" yWindow="0" windowWidth="28800" windowHeight="18000" xr2:uid="{00000000-000D-0000-FFFF-FFFF00000000}"/>
  </bookViews>
  <sheets>
    <sheet name="femaleTrialsOldBaileyOpenRefine" sheetId="1"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45" i="1" l="1"/>
  <c r="B44" i="1"/>
  <c r="B40" i="1"/>
  <c r="B30" i="1"/>
  <c r="B31" i="1"/>
  <c r="B28" i="1"/>
  <c r="B27" i="1"/>
  <c r="B26" i="1"/>
</calcChain>
</file>

<file path=xl/sharedStrings.xml><?xml version="1.0" encoding="utf-8"?>
<sst xmlns="http://schemas.openxmlformats.org/spreadsheetml/2006/main" count="286" uniqueCount="97">
  <si>
    <t>file</t>
  </si>
  <si>
    <t>defendant</t>
  </si>
  <si>
    <t>victim</t>
  </si>
  <si>
    <t>firstname</t>
  </si>
  <si>
    <t>lastname</t>
  </si>
  <si>
    <t>gender</t>
  </si>
  <si>
    <t>occupation</t>
  </si>
  <si>
    <t>offense</t>
  </si>
  <si>
    <t>verdict</t>
  </si>
  <si>
    <t>punishment</t>
  </si>
  <si>
    <t>year</t>
  </si>
  <si>
    <t>notes</t>
  </si>
  <si>
    <t>t16750115-2</t>
  </si>
  <si>
    <t>yes</t>
  </si>
  <si>
    <t>no</t>
  </si>
  <si>
    <t>Unknown</t>
  </si>
  <si>
    <t>Rookewood</t>
  </si>
  <si>
    <t>male</t>
  </si>
  <si>
    <t>servant</t>
  </si>
  <si>
    <t>grand larceny + burglary</t>
  </si>
  <si>
    <t>guilty</t>
  </si>
  <si>
    <t>branding</t>
  </si>
  <si>
    <t>The first Indictments for Felonious taking away of the 3000 Pound, he Pleaded Guilty; To the 2 Indictment, whereupon (besides the Feloney) he was indicted of Burglary which he might know was a Crime that exempted him from the benefit of Clergy. he was so much a friend to himself as to put himself upon his Tryal by Pleading not Guilty. Upon his Tryal upon this second Indictment it was proved against him by the Attestation of Several Witnesses, that Mr. Rowland Lee the Younger Sojourning in his Fathers house and having a Little Room therein for the keeping of his account, the Prisoner being then Servant to his Father took his opportunity when the said Mr. Lee was one day out of Town, broke into the said Room, and thence took a way the aforesaid 20 Pound.</t>
  </si>
  <si>
    <t>Rowland</t>
  </si>
  <si>
    <t>Lee</t>
  </si>
  <si>
    <t>master</t>
  </si>
  <si>
    <t>see above.</t>
  </si>
  <si>
    <t>female</t>
  </si>
  <si>
    <t>receiving</t>
  </si>
  <si>
    <t>acquited</t>
  </si>
  <si>
    <t>although it appeared to the Court that she was a person likely enough to be guilty of such a crime. yet no direct Evidence coming in against her.</t>
  </si>
  <si>
    <t>t16750707-4</t>
  </si>
  <si>
    <t>Elizabeth</t>
  </si>
  <si>
    <t>Lylliman</t>
  </si>
  <si>
    <t>petty treason</t>
  </si>
  <si>
    <t>burning</t>
  </si>
  <si>
    <t>she seem'd to be a person of some 50 years of age, old both in years and wickedness; her carriage was very strange both at her Arraignment and Tryal, for after her Indictment read, and the the Clark demanded her Plea to the same, she fell into a kind of passion, and desired of the Court that she might see her dear Husband before she pleaded, which she insisted upon with seeming earnestness for some time; but this appeared to the Court to be but a mad kind of Artifice, designed out of her feigned passionate Zeal to her Murthered Husband to take off the suspicion of her being instrumental to his death, but this would not serve the turn, for upon her Tryal the Fact was evidently proved against her by several witnesses, the people of the house where they were when the Murther was done, did attest how that a little time before the Murther, the party murthered, (having got a dried mackerel for his supper, went out to a Cobler that kept a Stall next adjoyning to the house, and borrowed his knife of him to dress his Fish; that while the Fish was a broyling, the people of the house being gon out of the Room, at their return, they found poor Lylliman with the aforesaid knife in his body, and the blood streaming out after it in this condition, nevertheless he had so much strength as to go to the door, and called to the Cobler of whom he borrowed the knife, to come to him, and then imbracing him, cryed out dear Countryman, my wife has stab'd me with a knife I borrowed of you, which words he reiterated 3 or 4 times, and then sunk down dead; The Chirurgion that searched the wound did attest that the knife was entred into his very heart; notwithstanding all which evidence, this bloody woman had the confidence to deny the Fact, and to pretend her self to be clearly innocent of it; but it was too evidently proved against her, and the whole matter being left to the Jury, they brought her in guilty of petty Treason.</t>
  </si>
  <si>
    <t>husband</t>
  </si>
  <si>
    <t>t16760114-6</t>
  </si>
  <si>
    <t>theft from place</t>
  </si>
  <si>
    <t>transportation</t>
  </si>
  <si>
    <t>she together with two men went into a house in the City, and pretended themselves persons of quality, one of the men saying he was Steward to a person of Honour, and the other a Gentleman. Landlord oblidge them readily compli'd; they desired that he would fetch them some more Double Beer himself, as soon as he was gone they took a Candle and run up stairs to his Chamber and broke his Closet open, and took from thence a silver Tankard and Money, to the value of twenty pounds, and left him only a light upon the stairs to see his losses: Away mareh'd they, but some days after this woman was met with and brought, to Newgate, and from thence to the Bar, where she pleaded that one of the men that took away the Money and Plate was her Husband, and produced a Certificate from the Parson of Pancross to affirm it; but the Jury supposing it to be counterfeit, found her guilty.</t>
  </si>
  <si>
    <t>landlord</t>
  </si>
  <si>
    <t>t16760405-16</t>
  </si>
  <si>
    <t>theft</t>
  </si>
  <si>
    <t>stealing away a silver Tankard from her master.</t>
  </si>
  <si>
    <t>t16760510-2</t>
  </si>
  <si>
    <t>bigamy</t>
  </si>
  <si>
    <t>death</t>
  </si>
  <si>
    <t>having two husbands at once alive.</t>
  </si>
  <si>
    <t>t16761011-11</t>
  </si>
  <si>
    <t>stole away a silver Cup to the value of 5l. a Tankard worth 9l. and several other Goods</t>
  </si>
  <si>
    <t>t16761213-3</t>
  </si>
  <si>
    <t>servant maid</t>
  </si>
  <si>
    <t>grand larceny</t>
  </si>
  <si>
    <t>stealing a silver Tankard of the value of Five pounds. having knock'd off the Lid, brought it to a Goldmith to sell, who perceiving the Cover lately broken off, would not buy it, unless she would shew it him; which after much importunity she did, and upon that was engraven the name of the Owner, whose wife she then pretended to be, and had the Goldsmith to a Confederates house, who seemed to say as much: but at last being trapp'd in their words by him, she confess'd the Felony to him, and afterwards on her examination before the Justice, and acknowledg'd in effect as much now at the bar, onely said that the Tankard was delivered her to sell by a fellow-servant; but there being neither proof nor probability of any such things, she was convicted.</t>
  </si>
  <si>
    <t>owner</t>
  </si>
  <si>
    <t>t16761213-11</t>
  </si>
  <si>
    <t>principal grand larceny</t>
  </si>
  <si>
    <t xml:space="preserve"> guilty</t>
  </si>
  <si>
    <t>[female] took the opportunity of his absence, and ransackt several of his Rooms, stole goods, to the value of 200 pound, and after which the said other prisoner took her a Lodging, disposed of a Watch, and some of the Plate There came in Evidence against her, that they saw a light in the Chamber where the Robbery was committed at the same time, and Knock'd at the door, but no body would answer; and that immediately after she was seen to come out of the house with a bundle or a heap in her Apron, she pleaded her Belly, but a Jury of Matrons gave in their Verdict that she was not with Childe.</t>
  </si>
  <si>
    <t>accessary grand larceny</t>
  </si>
  <si>
    <t>frenchman</t>
  </si>
  <si>
    <t>t16770711-5</t>
  </si>
  <si>
    <t>young wench</t>
  </si>
  <si>
    <t>stealing four small Gold plates off a Silver smith's stall.</t>
  </si>
  <si>
    <t>Silver smith</t>
  </si>
  <si>
    <t>t16770711a-4</t>
  </si>
  <si>
    <t>Longman</t>
  </si>
  <si>
    <t>an old and impudent Offender having been above Twelve times in Newgate, she had been lately transported; but returning, stole a great quantity of Silks; for which she was Convicted last Sessions.</t>
  </si>
  <si>
    <t>Gentleman of Quality</t>
  </si>
  <si>
    <t>engaged to solicite a Reprieve for one of her [Elizabeth Longman] Companions.</t>
  </si>
  <si>
    <t>Edward</t>
  </si>
  <si>
    <t>Russel</t>
  </si>
  <si>
    <t>employ'd [by Elizabeth Longman] to engage a Gentleman of Quality to solicite a Reprieve for one of her Companions. In this Gentleman's Lodgings they observ'd abundance of Plate and speaking of it, this Bess Longman cries, And did you onely see it? you dull Fools, go take it into possession: Which, at her instigation they effected but being young Thieves, were soon discovered.</t>
  </si>
  <si>
    <t>Wall</t>
  </si>
  <si>
    <t>total</t>
  </si>
  <si>
    <t>males</t>
  </si>
  <si>
    <t>females</t>
  </si>
  <si>
    <t>first names</t>
  </si>
  <si>
    <t>last names</t>
  </si>
  <si>
    <t>female first names</t>
  </si>
  <si>
    <t>male first names</t>
  </si>
  <si>
    <t>total occupations</t>
  </si>
  <si>
    <t>male occupations</t>
  </si>
  <si>
    <t>female occupations</t>
  </si>
  <si>
    <t>female last names</t>
  </si>
  <si>
    <t>male last names</t>
  </si>
  <si>
    <t>total unknown</t>
  </si>
  <si>
    <t>total unknown males</t>
  </si>
  <si>
    <t>total unknown females</t>
  </si>
  <si>
    <t>total unknown first names</t>
  </si>
  <si>
    <t>total unknown last names</t>
  </si>
  <si>
    <t>total unknown female first names</t>
  </si>
  <si>
    <t>total unknown male first names</t>
  </si>
  <si>
    <t>percent of female first names to females</t>
  </si>
  <si>
    <t>% of male first names to males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</si>
</sst>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
    <xf numFmtId="0" fontId="0" fillId="0" borderId="0" xfId="0"/>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Male vs. Female Names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male first names</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names</c:v>
              </c:pt>
            </c:strLit>
          </c:cat>
          <c:val>
            <c:numRef>
              <c:f>femaleTrialsOldBaileyOpenRefine!$B$34</c:f>
              <c:numCache>
                <c:formatCode>General</c:formatCode>
                <c:ptCount val="1"/>
                <c:pt idx="0">
                  <c:v>3</c:v>
                </c:pt>
              </c:numCache>
            </c:numRef>
          </c:val>
          <c:extLst>
            <c:ext xmlns:c16="http://schemas.microsoft.com/office/drawing/2014/chart" uri="{C3380CC4-5D6E-409C-BE32-E72D297353CC}">
              <c16:uniqueId val="{00000000-68A3-3C47-BF5D-198E9097C83A}"/>
            </c:ext>
          </c:extLst>
        </c:ser>
        <c:ser>
          <c:idx val="1"/>
          <c:order val="1"/>
          <c:tx>
            <c:v>female first names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names</c:v>
              </c:pt>
            </c:strLit>
          </c:cat>
          <c:val>
            <c:numRef>
              <c:f>femaleTrialsOldBaileyOpenRefine!$B$33</c:f>
              <c:numCache>
                <c:formatCode>General</c:formatCode>
                <c:ptCount val="1"/>
                <c:pt idx="0">
                  <c:v>2</c:v>
                </c:pt>
              </c:numCache>
            </c:numRef>
          </c:val>
          <c:extLst>
            <c:ext xmlns:c16="http://schemas.microsoft.com/office/drawing/2014/chart" uri="{C3380CC4-5D6E-409C-BE32-E72D297353CC}">
              <c16:uniqueId val="{00000000-6DFC-C14F-89F4-A52B906FA7F7}"/>
            </c:ext>
          </c:extLst>
        </c:ser>
        <c:ser>
          <c:idx val="3"/>
          <c:order val="2"/>
          <c:tx>
            <c:v>male last names</c:v>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names</c:v>
              </c:pt>
            </c:strLit>
          </c:cat>
          <c:val>
            <c:numRef>
              <c:f>femaleTrialsOldBaileyOpenRefine!$D$34</c:f>
              <c:numCache>
                <c:formatCode>General</c:formatCode>
                <c:ptCount val="1"/>
                <c:pt idx="0">
                  <c:v>5</c:v>
                </c:pt>
              </c:numCache>
            </c:numRef>
          </c:val>
          <c:extLst>
            <c:ext xmlns:c16="http://schemas.microsoft.com/office/drawing/2014/chart" uri="{C3380CC4-5D6E-409C-BE32-E72D297353CC}">
              <c16:uniqueId val="{00000004-6DFC-C14F-89F4-A52B906FA7F7}"/>
            </c:ext>
          </c:extLst>
        </c:ser>
        <c:ser>
          <c:idx val="2"/>
          <c:order val="3"/>
          <c:tx>
            <c:v>female last names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names</c:v>
              </c:pt>
            </c:strLit>
          </c:cat>
          <c:val>
            <c:numRef>
              <c:f>femaleTrialsOldBaileyOpenRefine!$D$33</c:f>
              <c:numCache>
                <c:formatCode>General</c:formatCode>
                <c:ptCount val="1"/>
                <c:pt idx="0">
                  <c:v>2</c:v>
                </c:pt>
              </c:numCache>
            </c:numRef>
          </c:val>
          <c:extLst>
            <c:ext xmlns:c16="http://schemas.microsoft.com/office/drawing/2014/chart" uri="{C3380CC4-5D6E-409C-BE32-E72D297353CC}">
              <c16:uniqueId val="{00000003-6DFC-C14F-89F4-A52B906FA7F7}"/>
            </c:ext>
          </c:extLst>
        </c:ser>
        <c:ser>
          <c:idx val="9"/>
          <c:order val="4"/>
          <c:tx>
            <c:v>unknown male first names</c:v>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femaleTrialsOldBaileyOpenRefine!$C$37</c:f>
              <c:numCache>
                <c:formatCode>General</c:formatCode>
                <c:ptCount val="1"/>
                <c:pt idx="0">
                  <c:v>10</c:v>
                </c:pt>
              </c:numCache>
            </c:numRef>
          </c:val>
          <c:extLst>
            <c:ext xmlns:c16="http://schemas.microsoft.com/office/drawing/2014/chart" uri="{C3380CC4-5D6E-409C-BE32-E72D297353CC}">
              <c16:uniqueId val="{0000000A-6DFC-C14F-89F4-A52B906FA7F7}"/>
            </c:ext>
          </c:extLst>
        </c:ser>
        <c:ser>
          <c:idx val="10"/>
          <c:order val="5"/>
          <c:tx>
            <c:v>unknown female first names</c:v>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femaleTrialsOldBaileyOpenRefine!$C$36</c:f>
              <c:numCache>
                <c:formatCode>General</c:formatCode>
                <c:ptCount val="1"/>
                <c:pt idx="0">
                  <c:v>8</c:v>
                </c:pt>
              </c:numCache>
            </c:numRef>
          </c:val>
          <c:extLst>
            <c:ext xmlns:c16="http://schemas.microsoft.com/office/drawing/2014/chart" uri="{C3380CC4-5D6E-409C-BE32-E72D297353CC}">
              <c16:uniqueId val="{0000000B-6DFC-C14F-89F4-A52B906FA7F7}"/>
            </c:ext>
          </c:extLst>
        </c:ser>
        <c:ser>
          <c:idx val="7"/>
          <c:order val="6"/>
          <c:tx>
            <c:v>total unknown first names</c:v>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femaleTrialsOldBaileyOpenRefine!$D$30</c:f>
              <c:numCache>
                <c:formatCode>General</c:formatCode>
                <c:ptCount val="1"/>
                <c:pt idx="0">
                  <c:v>18</c:v>
                </c:pt>
              </c:numCache>
            </c:numRef>
          </c:val>
          <c:extLst>
            <c:ext xmlns:c16="http://schemas.microsoft.com/office/drawing/2014/chart" uri="{C3380CC4-5D6E-409C-BE32-E72D297353CC}">
              <c16:uniqueId val="{00000008-6DFC-C14F-89F4-A52B906FA7F7}"/>
            </c:ext>
          </c:extLst>
        </c:ser>
        <c:ser>
          <c:idx val="8"/>
          <c:order val="7"/>
          <c:tx>
            <c:v>total unknown last names</c:v>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femaleTrialsOldBaileyOpenRefine!$D$31</c:f>
              <c:numCache>
                <c:formatCode>General</c:formatCode>
                <c:ptCount val="1"/>
                <c:pt idx="0">
                  <c:v>16</c:v>
                </c:pt>
              </c:numCache>
            </c:numRef>
          </c:val>
          <c:extLst>
            <c:ext xmlns:c16="http://schemas.microsoft.com/office/drawing/2014/chart" uri="{C3380CC4-5D6E-409C-BE32-E72D297353CC}">
              <c16:uniqueId val="{00000009-6DFC-C14F-89F4-A52B906FA7F7}"/>
            </c:ext>
          </c:extLst>
        </c:ser>
        <c:ser>
          <c:idx val="5"/>
          <c:order val="8"/>
          <c:tx>
            <c:v>total male individuals</c:v>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femaleTrialsOldBaileyOpenRefine!$B$26</c:f>
              <c:numCache>
                <c:formatCode>General</c:formatCode>
                <c:ptCount val="1"/>
                <c:pt idx="0">
                  <c:v>13</c:v>
                </c:pt>
              </c:numCache>
            </c:numRef>
          </c:val>
          <c:extLst>
            <c:ext xmlns:c16="http://schemas.microsoft.com/office/drawing/2014/chart" uri="{C3380CC4-5D6E-409C-BE32-E72D297353CC}">
              <c16:uniqueId val="{00000006-6DFC-C14F-89F4-A52B906FA7F7}"/>
            </c:ext>
          </c:extLst>
        </c:ser>
        <c:ser>
          <c:idx val="6"/>
          <c:order val="9"/>
          <c:tx>
            <c:v>total female individuals</c:v>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femaleTrialsOldBaileyOpenRefine!$B$27</c:f>
              <c:numCache>
                <c:formatCode>General</c:formatCode>
                <c:ptCount val="1"/>
                <c:pt idx="0">
                  <c:v>10</c:v>
                </c:pt>
              </c:numCache>
            </c:numRef>
          </c:val>
          <c:extLst>
            <c:ext xmlns:c16="http://schemas.microsoft.com/office/drawing/2014/chart" uri="{C3380CC4-5D6E-409C-BE32-E72D297353CC}">
              <c16:uniqueId val="{00000007-6DFC-C14F-89F4-A52B906FA7F7}"/>
            </c:ext>
          </c:extLst>
        </c:ser>
        <c:ser>
          <c:idx val="4"/>
          <c:order val="10"/>
          <c:tx>
            <c:v>total individuals</c:v>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femaleTrialsOldBaileyOpenRefine!$B$28</c:f>
              <c:numCache>
                <c:formatCode>General</c:formatCode>
                <c:ptCount val="1"/>
                <c:pt idx="0">
                  <c:v>23</c:v>
                </c:pt>
              </c:numCache>
            </c:numRef>
          </c:val>
          <c:extLst>
            <c:ext xmlns:c16="http://schemas.microsoft.com/office/drawing/2014/chart" uri="{C3380CC4-5D6E-409C-BE32-E72D297353CC}">
              <c16:uniqueId val="{00000005-6DFC-C14F-89F4-A52B906FA7F7}"/>
            </c:ext>
          </c:extLst>
        </c:ser>
        <c:dLbls>
          <c:showLegendKey val="0"/>
          <c:showVal val="0"/>
          <c:showCatName val="0"/>
          <c:showSerName val="0"/>
          <c:showPercent val="0"/>
          <c:showBubbleSize val="0"/>
        </c:dLbls>
        <c:gapWidth val="55"/>
        <c:axId val="1448809039"/>
        <c:axId val="1506611359"/>
      </c:barChart>
      <c:catAx>
        <c:axId val="14488090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1506611359"/>
        <c:crosses val="autoZero"/>
        <c:auto val="0"/>
        <c:lblAlgn val="ctr"/>
        <c:lblOffset val="100"/>
        <c:noMultiLvlLbl val="0"/>
      </c:catAx>
      <c:valAx>
        <c:axId val="15066113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88090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Occupation</a:t>
            </a:r>
            <a:r>
              <a:rPr lang="en-US" baseline="0"/>
              <a:t> Frequency Between Males and Females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males</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femaleTrialsOldBaileyOpenRefine!$A$40:$A$42</c:f>
              <c:strCache>
                <c:ptCount val="3"/>
                <c:pt idx="0">
                  <c:v>total occupations</c:v>
                </c:pt>
                <c:pt idx="1">
                  <c:v>male occupations</c:v>
                </c:pt>
                <c:pt idx="2">
                  <c:v>female occupations</c:v>
                </c:pt>
              </c:strCache>
            </c:strRef>
          </c:cat>
          <c:val>
            <c:numRef>
              <c:f>femaleTrialsOldBaileyOpenRefine!$B$41</c:f>
              <c:numCache>
                <c:formatCode>General</c:formatCode>
                <c:ptCount val="1"/>
                <c:pt idx="0">
                  <c:v>10</c:v>
                </c:pt>
              </c:numCache>
            </c:numRef>
          </c:val>
          <c:extLst>
            <c:ext xmlns:c16="http://schemas.microsoft.com/office/drawing/2014/chart" uri="{C3380CC4-5D6E-409C-BE32-E72D297353CC}">
              <c16:uniqueId val="{00000000-F006-EA4E-9BF2-B1AEA4D43CF1}"/>
            </c:ext>
          </c:extLst>
        </c:ser>
        <c:ser>
          <c:idx val="1"/>
          <c:order val="1"/>
          <c:tx>
            <c:v>females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femaleTrialsOldBaileyOpenRefine!$A$40:$A$42</c:f>
              <c:strCache>
                <c:ptCount val="3"/>
                <c:pt idx="0">
                  <c:v>total occupations</c:v>
                </c:pt>
                <c:pt idx="1">
                  <c:v>male occupations</c:v>
                </c:pt>
                <c:pt idx="2">
                  <c:v>female occupations</c:v>
                </c:pt>
              </c:strCache>
            </c:strRef>
          </c:cat>
          <c:val>
            <c:numRef>
              <c:f>femaleTrialsOldBaileyOpenRefine!$B$42</c:f>
              <c:numCache>
                <c:formatCode>General</c:formatCode>
                <c:ptCount val="1"/>
                <c:pt idx="0">
                  <c:v>3</c:v>
                </c:pt>
              </c:numCache>
            </c:numRef>
          </c:val>
          <c:extLst>
            <c:ext xmlns:c16="http://schemas.microsoft.com/office/drawing/2014/chart" uri="{C3380CC4-5D6E-409C-BE32-E72D297353CC}">
              <c16:uniqueId val="{00000001-F006-EA4E-9BF2-B1AEA4D43CF1}"/>
            </c:ext>
          </c:extLst>
        </c:ser>
        <c:ser>
          <c:idx val="2"/>
          <c:order val="2"/>
          <c:tx>
            <c:v>total</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femaleTrialsOldBaileyOpenRefine!$A$40:$A$42</c:f>
              <c:strCache>
                <c:ptCount val="3"/>
                <c:pt idx="0">
                  <c:v>total occupations</c:v>
                </c:pt>
                <c:pt idx="1">
                  <c:v>male occupations</c:v>
                </c:pt>
                <c:pt idx="2">
                  <c:v>female occupations</c:v>
                </c:pt>
              </c:strCache>
            </c:strRef>
          </c:cat>
          <c:val>
            <c:numRef>
              <c:f>femaleTrialsOldBaileyOpenRefine!$B$40</c:f>
              <c:numCache>
                <c:formatCode>General</c:formatCode>
                <c:ptCount val="1"/>
                <c:pt idx="0">
                  <c:v>13</c:v>
                </c:pt>
              </c:numCache>
            </c:numRef>
          </c:val>
          <c:extLst>
            <c:ext xmlns:c16="http://schemas.microsoft.com/office/drawing/2014/chart" uri="{C3380CC4-5D6E-409C-BE32-E72D297353CC}">
              <c16:uniqueId val="{00000002-F006-EA4E-9BF2-B1AEA4D43CF1}"/>
            </c:ext>
          </c:extLst>
        </c:ser>
        <c:dLbls>
          <c:showLegendKey val="0"/>
          <c:showVal val="0"/>
          <c:showCatName val="0"/>
          <c:showSerName val="0"/>
          <c:showPercent val="0"/>
          <c:showBubbleSize val="0"/>
        </c:dLbls>
        <c:gapWidth val="219"/>
        <c:axId val="1888351919"/>
        <c:axId val="1888007855"/>
      </c:barChart>
      <c:catAx>
        <c:axId val="18883519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8007855"/>
        <c:crosses val="autoZero"/>
        <c:auto val="1"/>
        <c:lblAlgn val="ctr"/>
        <c:lblOffset val="100"/>
        <c:noMultiLvlLbl val="0"/>
      </c:catAx>
      <c:valAx>
        <c:axId val="18880078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8351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Percentage of first names known</a:t>
            </a:r>
            <a:r>
              <a:rPr lang="en-US" baseline="0"/>
              <a:t> for males and females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 of males with first names</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males and females respectively</c:v>
              </c:pt>
            </c:strLit>
          </c:cat>
          <c:val>
            <c:numRef>
              <c:f>femaleTrialsOldBaileyOpenRefine!$B$45</c:f>
              <c:numCache>
                <c:formatCode>General</c:formatCode>
                <c:ptCount val="1"/>
                <c:pt idx="0">
                  <c:v>23.076923076923077</c:v>
                </c:pt>
              </c:numCache>
            </c:numRef>
          </c:val>
          <c:extLst>
            <c:ext xmlns:c16="http://schemas.microsoft.com/office/drawing/2014/chart" uri="{C3380CC4-5D6E-409C-BE32-E72D297353CC}">
              <c16:uniqueId val="{00000000-6B8E-5D47-884E-2B4124661CB8}"/>
            </c:ext>
          </c:extLst>
        </c:ser>
        <c:ser>
          <c:idx val="1"/>
          <c:order val="1"/>
          <c:tx>
            <c:v>% of females with first names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2"/>
                </a:solidFill>
                <a:prstDash val="sysDot"/>
              </a:ln>
              <a:effectLst/>
            </c:spPr>
            <c:trendlineType val="linear"/>
            <c:dispRSqr val="0"/>
            <c:dispEq val="0"/>
          </c:trendline>
          <c:cat>
            <c:strLit>
              <c:ptCount val="1"/>
              <c:pt idx="0">
                <c:v>males and females respectively</c:v>
              </c:pt>
            </c:strLit>
          </c:cat>
          <c:val>
            <c:numRef>
              <c:f>femaleTrialsOldBaileyOpenRefine!$B$44</c:f>
              <c:numCache>
                <c:formatCode>General</c:formatCode>
                <c:ptCount val="1"/>
                <c:pt idx="0">
                  <c:v>20</c:v>
                </c:pt>
              </c:numCache>
            </c:numRef>
          </c:val>
          <c:extLst>
            <c:ext xmlns:c16="http://schemas.microsoft.com/office/drawing/2014/chart" uri="{C3380CC4-5D6E-409C-BE32-E72D297353CC}">
              <c16:uniqueId val="{00000001-6B8E-5D47-884E-2B4124661CB8}"/>
            </c:ext>
          </c:extLst>
        </c:ser>
        <c:dLbls>
          <c:showLegendKey val="0"/>
          <c:showVal val="0"/>
          <c:showCatName val="0"/>
          <c:showSerName val="0"/>
          <c:showPercent val="0"/>
          <c:showBubbleSize val="0"/>
        </c:dLbls>
        <c:gapWidth val="219"/>
        <c:overlap val="-27"/>
        <c:axId val="1893863567"/>
        <c:axId val="1890123327"/>
      </c:barChart>
      <c:catAx>
        <c:axId val="1893863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0123327"/>
        <c:crosses val="autoZero"/>
        <c:auto val="1"/>
        <c:lblAlgn val="ctr"/>
        <c:lblOffset val="100"/>
        <c:noMultiLvlLbl val="0"/>
      </c:catAx>
      <c:valAx>
        <c:axId val="18901233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38635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20</xdr:col>
      <xdr:colOff>479328</xdr:colOff>
      <xdr:row>29</xdr:row>
      <xdr:rowOff>89284</xdr:rowOff>
    </xdr:from>
    <xdr:to>
      <xdr:col>38</xdr:col>
      <xdr:colOff>215590</xdr:colOff>
      <xdr:row>65</xdr:row>
      <xdr:rowOff>137944</xdr:rowOff>
    </xdr:to>
    <xdr:graphicFrame macro="">
      <xdr:nvGraphicFramePr>
        <xdr:cNvPr id="3" name="Chart 2">
          <a:extLst>
            <a:ext uri="{FF2B5EF4-FFF2-40B4-BE49-F238E27FC236}">
              <a16:creationId xmlns:a16="http://schemas.microsoft.com/office/drawing/2014/main" id="{20462121-B26A-0CEB-4761-D3B1BB9AF0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835132</xdr:colOff>
      <xdr:row>72</xdr:row>
      <xdr:rowOff>31893</xdr:rowOff>
    </xdr:from>
    <xdr:to>
      <xdr:col>37</xdr:col>
      <xdr:colOff>79482</xdr:colOff>
      <xdr:row>89</xdr:row>
      <xdr:rowOff>111018</xdr:rowOff>
    </xdr:to>
    <xdr:graphicFrame macro="">
      <xdr:nvGraphicFramePr>
        <xdr:cNvPr id="2" name="Chart 1">
          <a:extLst>
            <a:ext uri="{FF2B5EF4-FFF2-40B4-BE49-F238E27FC236}">
              <a16:creationId xmlns:a16="http://schemas.microsoft.com/office/drawing/2014/main" id="{E814D59F-1E72-3E81-7BD9-029B1D6529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330200</xdr:colOff>
      <xdr:row>34</xdr:row>
      <xdr:rowOff>50800</xdr:rowOff>
    </xdr:from>
    <xdr:to>
      <xdr:col>18</xdr:col>
      <xdr:colOff>223520</xdr:colOff>
      <xdr:row>61</xdr:row>
      <xdr:rowOff>142240</xdr:rowOff>
    </xdr:to>
    <xdr:graphicFrame macro="">
      <xdr:nvGraphicFramePr>
        <xdr:cNvPr id="4" name="Chart 3">
          <a:extLst>
            <a:ext uri="{FF2B5EF4-FFF2-40B4-BE49-F238E27FC236}">
              <a16:creationId xmlns:a16="http://schemas.microsoft.com/office/drawing/2014/main" id="{B0E7382D-EA87-E496-723D-793D36E286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L45"/>
  <sheetViews>
    <sheetView tabSelected="1" zoomScale="25" zoomScaleNormal="110" workbookViewId="0">
      <selection activeCell="E51" sqref="E51"/>
    </sheetView>
  </sheetViews>
  <sheetFormatPr baseColWidth="10" defaultRowHeight="16"/>
  <sheetData>
    <row r="1" spans="1:12">
      <c r="A1" t="s">
        <v>0</v>
      </c>
      <c r="B1" t="s">
        <v>1</v>
      </c>
      <c r="C1" t="s">
        <v>2</v>
      </c>
      <c r="D1" t="s">
        <v>3</v>
      </c>
      <c r="E1" t="s">
        <v>4</v>
      </c>
      <c r="F1" t="s">
        <v>5</v>
      </c>
      <c r="G1" t="s">
        <v>6</v>
      </c>
      <c r="H1" t="s">
        <v>7</v>
      </c>
      <c r="I1" t="s">
        <v>8</v>
      </c>
      <c r="J1" t="s">
        <v>9</v>
      </c>
      <c r="K1" t="s">
        <v>10</v>
      </c>
      <c r="L1" t="s">
        <v>11</v>
      </c>
    </row>
    <row r="2" spans="1:12">
      <c r="A2" t="s">
        <v>12</v>
      </c>
      <c r="B2" t="s">
        <v>13</v>
      </c>
      <c r="C2" t="s">
        <v>14</v>
      </c>
      <c r="D2" t="s">
        <v>15</v>
      </c>
      <c r="E2" t="s">
        <v>16</v>
      </c>
      <c r="F2" t="s">
        <v>17</v>
      </c>
      <c r="G2" t="s">
        <v>18</v>
      </c>
      <c r="H2" t="s">
        <v>19</v>
      </c>
      <c r="I2" t="s">
        <v>20</v>
      </c>
      <c r="J2" t="s">
        <v>21</v>
      </c>
      <c r="K2">
        <v>1675</v>
      </c>
      <c r="L2" t="s">
        <v>22</v>
      </c>
    </row>
    <row r="3" spans="1:12">
      <c r="A3" t="s">
        <v>12</v>
      </c>
      <c r="B3" t="s">
        <v>14</v>
      </c>
      <c r="C3" t="s">
        <v>13</v>
      </c>
      <c r="D3" t="s">
        <v>23</v>
      </c>
      <c r="E3" t="s">
        <v>24</v>
      </c>
      <c r="F3" t="s">
        <v>17</v>
      </c>
      <c r="G3" t="s">
        <v>25</v>
      </c>
      <c r="H3" t="s">
        <v>15</v>
      </c>
      <c r="I3" t="s">
        <v>15</v>
      </c>
      <c r="J3" t="s">
        <v>15</v>
      </c>
      <c r="K3">
        <v>1675</v>
      </c>
      <c r="L3" t="s">
        <v>26</v>
      </c>
    </row>
    <row r="4" spans="1:12">
      <c r="A4" t="s">
        <v>12</v>
      </c>
      <c r="B4" t="s">
        <v>13</v>
      </c>
      <c r="C4" t="s">
        <v>14</v>
      </c>
      <c r="D4" t="s">
        <v>15</v>
      </c>
      <c r="E4" t="s">
        <v>15</v>
      </c>
      <c r="F4" t="s">
        <v>27</v>
      </c>
      <c r="G4" t="s">
        <v>15</v>
      </c>
      <c r="H4" t="s">
        <v>28</v>
      </c>
      <c r="I4" t="s">
        <v>29</v>
      </c>
      <c r="J4" t="s">
        <v>15</v>
      </c>
      <c r="K4">
        <v>1675</v>
      </c>
      <c r="L4" t="s">
        <v>30</v>
      </c>
    </row>
    <row r="5" spans="1:12">
      <c r="A5" t="s">
        <v>31</v>
      </c>
      <c r="B5" t="s">
        <v>13</v>
      </c>
      <c r="C5" t="s">
        <v>14</v>
      </c>
      <c r="D5" t="s">
        <v>32</v>
      </c>
      <c r="E5" t="s">
        <v>33</v>
      </c>
      <c r="F5" t="s">
        <v>27</v>
      </c>
      <c r="G5" t="s">
        <v>15</v>
      </c>
      <c r="H5" t="s">
        <v>34</v>
      </c>
      <c r="I5" t="s">
        <v>20</v>
      </c>
      <c r="J5" t="s">
        <v>35</v>
      </c>
      <c r="K5">
        <v>1675</v>
      </c>
      <c r="L5" t="s">
        <v>36</v>
      </c>
    </row>
    <row r="6" spans="1:12">
      <c r="A6" t="s">
        <v>31</v>
      </c>
      <c r="B6" t="s">
        <v>14</v>
      </c>
      <c r="C6" t="s">
        <v>13</v>
      </c>
      <c r="D6" t="s">
        <v>15</v>
      </c>
      <c r="E6" t="s">
        <v>33</v>
      </c>
      <c r="F6" t="s">
        <v>17</v>
      </c>
      <c r="G6" t="s">
        <v>37</v>
      </c>
      <c r="H6" t="s">
        <v>15</v>
      </c>
      <c r="I6" t="s">
        <v>15</v>
      </c>
      <c r="J6" t="s">
        <v>15</v>
      </c>
      <c r="K6">
        <v>1675</v>
      </c>
      <c r="L6" t="s">
        <v>26</v>
      </c>
    </row>
    <row r="7" spans="1:12">
      <c r="A7" t="s">
        <v>38</v>
      </c>
      <c r="B7" t="s">
        <v>13</v>
      </c>
      <c r="C7" t="s">
        <v>14</v>
      </c>
      <c r="D7" t="s">
        <v>15</v>
      </c>
      <c r="E7" t="s">
        <v>15</v>
      </c>
      <c r="F7" t="s">
        <v>27</v>
      </c>
      <c r="G7" t="s">
        <v>15</v>
      </c>
      <c r="H7" t="s">
        <v>39</v>
      </c>
      <c r="I7" t="s">
        <v>20</v>
      </c>
      <c r="J7" t="s">
        <v>40</v>
      </c>
      <c r="K7">
        <v>1676</v>
      </c>
      <c r="L7" t="s">
        <v>41</v>
      </c>
    </row>
    <row r="8" spans="1:12">
      <c r="A8" t="s">
        <v>38</v>
      </c>
      <c r="B8" t="s">
        <v>14</v>
      </c>
      <c r="C8" t="s">
        <v>13</v>
      </c>
      <c r="D8" t="s">
        <v>15</v>
      </c>
      <c r="E8" t="s">
        <v>15</v>
      </c>
      <c r="F8" t="s">
        <v>17</v>
      </c>
      <c r="G8" t="s">
        <v>42</v>
      </c>
      <c r="H8" t="s">
        <v>15</v>
      </c>
      <c r="I8" t="s">
        <v>15</v>
      </c>
      <c r="J8" t="s">
        <v>15</v>
      </c>
      <c r="K8">
        <v>1676</v>
      </c>
      <c r="L8" t="s">
        <v>26</v>
      </c>
    </row>
    <row r="9" spans="1:12">
      <c r="A9" t="s">
        <v>43</v>
      </c>
      <c r="B9" t="s">
        <v>13</v>
      </c>
      <c r="C9" t="s">
        <v>14</v>
      </c>
      <c r="D9" t="s">
        <v>15</v>
      </c>
      <c r="E9" t="s">
        <v>15</v>
      </c>
      <c r="F9" t="s">
        <v>27</v>
      </c>
      <c r="G9" t="s">
        <v>15</v>
      </c>
      <c r="H9" t="s">
        <v>44</v>
      </c>
      <c r="I9" t="s">
        <v>20</v>
      </c>
      <c r="J9" t="s">
        <v>15</v>
      </c>
      <c r="K9">
        <v>1676</v>
      </c>
      <c r="L9" t="s">
        <v>45</v>
      </c>
    </row>
    <row r="10" spans="1:12">
      <c r="A10" t="s">
        <v>43</v>
      </c>
      <c r="B10" t="s">
        <v>14</v>
      </c>
      <c r="C10" t="s">
        <v>13</v>
      </c>
      <c r="D10" t="s">
        <v>15</v>
      </c>
      <c r="E10" t="s">
        <v>15</v>
      </c>
      <c r="F10" t="s">
        <v>17</v>
      </c>
      <c r="G10" t="s">
        <v>25</v>
      </c>
      <c r="H10" t="s">
        <v>15</v>
      </c>
      <c r="I10" t="s">
        <v>15</v>
      </c>
      <c r="J10" t="s">
        <v>15</v>
      </c>
      <c r="K10">
        <v>1676</v>
      </c>
      <c r="L10" t="s">
        <v>26</v>
      </c>
    </row>
    <row r="11" spans="1:12">
      <c r="A11" t="s">
        <v>46</v>
      </c>
      <c r="B11" t="s">
        <v>13</v>
      </c>
      <c r="C11" t="s">
        <v>14</v>
      </c>
      <c r="D11" t="s">
        <v>15</v>
      </c>
      <c r="E11" t="s">
        <v>15</v>
      </c>
      <c r="F11" t="s">
        <v>27</v>
      </c>
      <c r="G11" t="s">
        <v>15</v>
      </c>
      <c r="H11" t="s">
        <v>47</v>
      </c>
      <c r="I11" t="s">
        <v>20</v>
      </c>
      <c r="J11" t="s">
        <v>48</v>
      </c>
      <c r="K11">
        <v>1676</v>
      </c>
      <c r="L11" t="s">
        <v>49</v>
      </c>
    </row>
    <row r="12" spans="1:12">
      <c r="A12" t="s">
        <v>50</v>
      </c>
      <c r="B12" t="s">
        <v>13</v>
      </c>
      <c r="C12" t="s">
        <v>14</v>
      </c>
      <c r="D12" t="s">
        <v>15</v>
      </c>
      <c r="E12" t="s">
        <v>15</v>
      </c>
      <c r="F12" t="s">
        <v>27</v>
      </c>
      <c r="G12" t="s">
        <v>15</v>
      </c>
      <c r="H12" t="s">
        <v>39</v>
      </c>
      <c r="I12" t="s">
        <v>20</v>
      </c>
      <c r="J12" t="s">
        <v>15</v>
      </c>
      <c r="K12">
        <v>1676</v>
      </c>
      <c r="L12" t="s">
        <v>51</v>
      </c>
    </row>
    <row r="13" spans="1:12">
      <c r="A13" t="s">
        <v>50</v>
      </c>
      <c r="B13" t="s">
        <v>14</v>
      </c>
      <c r="C13" t="s">
        <v>13</v>
      </c>
      <c r="D13" t="s">
        <v>15</v>
      </c>
      <c r="E13" t="s">
        <v>15</v>
      </c>
      <c r="F13" t="s">
        <v>17</v>
      </c>
      <c r="G13" t="s">
        <v>42</v>
      </c>
      <c r="H13" t="s">
        <v>15</v>
      </c>
      <c r="I13" t="s">
        <v>15</v>
      </c>
      <c r="J13" t="s">
        <v>15</v>
      </c>
      <c r="K13">
        <v>1676</v>
      </c>
      <c r="L13" t="s">
        <v>26</v>
      </c>
    </row>
    <row r="14" spans="1:12">
      <c r="A14" t="s">
        <v>52</v>
      </c>
      <c r="B14" t="s">
        <v>13</v>
      </c>
      <c r="C14" t="s">
        <v>14</v>
      </c>
      <c r="D14" t="s">
        <v>15</v>
      </c>
      <c r="E14" t="s">
        <v>15</v>
      </c>
      <c r="F14" t="s">
        <v>27</v>
      </c>
      <c r="G14" t="s">
        <v>53</v>
      </c>
      <c r="H14" t="s">
        <v>54</v>
      </c>
      <c r="I14" t="s">
        <v>20</v>
      </c>
      <c r="J14" t="s">
        <v>15</v>
      </c>
      <c r="K14">
        <v>1676</v>
      </c>
      <c r="L14" t="s">
        <v>55</v>
      </c>
    </row>
    <row r="15" spans="1:12">
      <c r="A15" t="s">
        <v>52</v>
      </c>
      <c r="B15" t="s">
        <v>14</v>
      </c>
      <c r="C15" t="s">
        <v>13</v>
      </c>
      <c r="D15" t="s">
        <v>15</v>
      </c>
      <c r="E15" t="s">
        <v>15</v>
      </c>
      <c r="F15" t="s">
        <v>17</v>
      </c>
      <c r="G15" t="s">
        <v>56</v>
      </c>
      <c r="H15" t="s">
        <v>15</v>
      </c>
      <c r="I15" t="s">
        <v>15</v>
      </c>
      <c r="J15" t="s">
        <v>15</v>
      </c>
      <c r="K15">
        <v>1676</v>
      </c>
      <c r="L15" t="s">
        <v>26</v>
      </c>
    </row>
    <row r="16" spans="1:12">
      <c r="A16" t="s">
        <v>57</v>
      </c>
      <c r="B16" t="s">
        <v>13</v>
      </c>
      <c r="C16" t="s">
        <v>14</v>
      </c>
      <c r="D16" t="s">
        <v>15</v>
      </c>
      <c r="E16" t="s">
        <v>15</v>
      </c>
      <c r="F16" t="s">
        <v>27</v>
      </c>
      <c r="G16" t="s">
        <v>18</v>
      </c>
      <c r="H16" t="s">
        <v>58</v>
      </c>
      <c r="I16" t="s">
        <v>59</v>
      </c>
      <c r="J16" t="s">
        <v>15</v>
      </c>
      <c r="K16">
        <v>1676</v>
      </c>
      <c r="L16" t="s">
        <v>60</v>
      </c>
    </row>
    <row r="17" spans="1:12">
      <c r="A17" t="s">
        <v>57</v>
      </c>
      <c r="B17" t="s">
        <v>13</v>
      </c>
      <c r="C17" t="s">
        <v>14</v>
      </c>
      <c r="D17" t="s">
        <v>15</v>
      </c>
      <c r="E17" t="s">
        <v>15</v>
      </c>
      <c r="F17" t="s">
        <v>17</v>
      </c>
      <c r="G17" t="s">
        <v>15</v>
      </c>
      <c r="H17" t="s">
        <v>61</v>
      </c>
      <c r="I17" t="s">
        <v>20</v>
      </c>
      <c r="J17" t="s">
        <v>15</v>
      </c>
      <c r="K17">
        <v>1676</v>
      </c>
      <c r="L17" t="s">
        <v>26</v>
      </c>
    </row>
    <row r="18" spans="1:12">
      <c r="A18" t="s">
        <v>57</v>
      </c>
      <c r="B18" t="s">
        <v>14</v>
      </c>
      <c r="C18" t="s">
        <v>13</v>
      </c>
      <c r="D18" t="s">
        <v>15</v>
      </c>
      <c r="E18" t="s">
        <v>15</v>
      </c>
      <c r="F18" t="s">
        <v>17</v>
      </c>
      <c r="G18" t="s">
        <v>62</v>
      </c>
      <c r="H18" t="s">
        <v>15</v>
      </c>
      <c r="I18" t="s">
        <v>15</v>
      </c>
      <c r="J18" t="s">
        <v>15</v>
      </c>
      <c r="K18">
        <v>1676</v>
      </c>
      <c r="L18" t="s">
        <v>26</v>
      </c>
    </row>
    <row r="19" spans="1:12">
      <c r="A19" t="s">
        <v>63</v>
      </c>
      <c r="B19" t="s">
        <v>13</v>
      </c>
      <c r="C19" t="s">
        <v>14</v>
      </c>
      <c r="D19" t="s">
        <v>15</v>
      </c>
      <c r="E19" t="s">
        <v>15</v>
      </c>
      <c r="F19" t="s">
        <v>27</v>
      </c>
      <c r="G19" t="s">
        <v>64</v>
      </c>
      <c r="H19" t="s">
        <v>39</v>
      </c>
      <c r="I19" t="s">
        <v>20</v>
      </c>
      <c r="J19" t="s">
        <v>15</v>
      </c>
      <c r="K19">
        <v>1677</v>
      </c>
      <c r="L19" t="s">
        <v>65</v>
      </c>
    </row>
    <row r="20" spans="1:12">
      <c r="A20" t="s">
        <v>63</v>
      </c>
      <c r="B20" t="s">
        <v>14</v>
      </c>
      <c r="C20" t="s">
        <v>13</v>
      </c>
      <c r="D20" t="s">
        <v>15</v>
      </c>
      <c r="E20" t="s">
        <v>15</v>
      </c>
      <c r="F20" t="s">
        <v>17</v>
      </c>
      <c r="G20" t="s">
        <v>66</v>
      </c>
      <c r="H20" t="s">
        <v>15</v>
      </c>
      <c r="I20" t="s">
        <v>15</v>
      </c>
      <c r="J20" t="s">
        <v>15</v>
      </c>
      <c r="K20">
        <v>1677</v>
      </c>
      <c r="L20" t="s">
        <v>26</v>
      </c>
    </row>
    <row r="21" spans="1:12">
      <c r="A21" t="s">
        <v>67</v>
      </c>
      <c r="B21" t="s">
        <v>13</v>
      </c>
      <c r="C21" t="s">
        <v>14</v>
      </c>
      <c r="D21" t="s">
        <v>32</v>
      </c>
      <c r="E21" t="s">
        <v>68</v>
      </c>
      <c r="F21" t="s">
        <v>27</v>
      </c>
      <c r="G21" t="s">
        <v>15</v>
      </c>
      <c r="H21" t="s">
        <v>44</v>
      </c>
      <c r="I21" t="s">
        <v>20</v>
      </c>
      <c r="J21" t="s">
        <v>15</v>
      </c>
      <c r="K21">
        <v>1677</v>
      </c>
      <c r="L21" t="s">
        <v>69</v>
      </c>
    </row>
    <row r="22" spans="1:12">
      <c r="A22" t="s">
        <v>67</v>
      </c>
      <c r="B22" t="s">
        <v>14</v>
      </c>
      <c r="C22" t="s">
        <v>13</v>
      </c>
      <c r="D22" t="s">
        <v>15</v>
      </c>
      <c r="E22" t="s">
        <v>15</v>
      </c>
      <c r="F22" t="s">
        <v>17</v>
      </c>
      <c r="G22" t="s">
        <v>70</v>
      </c>
      <c r="H22" t="s">
        <v>15</v>
      </c>
      <c r="I22" t="s">
        <v>15</v>
      </c>
      <c r="J22" t="s">
        <v>15</v>
      </c>
      <c r="K22">
        <v>1677</v>
      </c>
      <c r="L22" t="s">
        <v>71</v>
      </c>
    </row>
    <row r="23" spans="1:12">
      <c r="A23" t="s">
        <v>67</v>
      </c>
      <c r="B23" t="s">
        <v>13</v>
      </c>
      <c r="C23" t="s">
        <v>14</v>
      </c>
      <c r="D23" t="s">
        <v>72</v>
      </c>
      <c r="E23" t="s">
        <v>73</v>
      </c>
      <c r="F23" t="s">
        <v>17</v>
      </c>
      <c r="G23" t="s">
        <v>15</v>
      </c>
      <c r="H23" t="s">
        <v>44</v>
      </c>
      <c r="I23" t="s">
        <v>20</v>
      </c>
      <c r="J23" t="s">
        <v>15</v>
      </c>
      <c r="K23">
        <v>1677</v>
      </c>
      <c r="L23" t="s">
        <v>74</v>
      </c>
    </row>
    <row r="24" spans="1:12">
      <c r="A24" t="s">
        <v>67</v>
      </c>
      <c r="B24" t="s">
        <v>13</v>
      </c>
      <c r="C24" t="s">
        <v>14</v>
      </c>
      <c r="D24" t="s">
        <v>72</v>
      </c>
      <c r="E24" t="s">
        <v>75</v>
      </c>
      <c r="F24" t="s">
        <v>17</v>
      </c>
      <c r="G24" t="s">
        <v>15</v>
      </c>
      <c r="H24" t="s">
        <v>44</v>
      </c>
      <c r="I24" t="s">
        <v>20</v>
      </c>
      <c r="J24" t="s">
        <v>15</v>
      </c>
      <c r="K24">
        <v>1677</v>
      </c>
      <c r="L24" t="s">
        <v>74</v>
      </c>
    </row>
    <row r="26" spans="1:12">
      <c r="A26" t="s">
        <v>77</v>
      </c>
      <c r="B26">
        <f>COUNTIF(F:F,"male")</f>
        <v>13</v>
      </c>
      <c r="C26" t="s">
        <v>89</v>
      </c>
    </row>
    <row r="27" spans="1:12">
      <c r="A27" t="s">
        <v>78</v>
      </c>
      <c r="B27">
        <f>COUNTIF(F:F,"female")</f>
        <v>10</v>
      </c>
      <c r="C27" t="s">
        <v>90</v>
      </c>
    </row>
    <row r="28" spans="1:12">
      <c r="A28" t="s">
        <v>76</v>
      </c>
      <c r="B28">
        <f>SUM(B26,B27)</f>
        <v>23</v>
      </c>
      <c r="C28" t="s">
        <v>88</v>
      </c>
    </row>
    <row r="30" spans="1:12">
      <c r="A30" t="s">
        <v>79</v>
      </c>
      <c r="B30">
        <f>23-COUNTIF(D:D,"Unknown")</f>
        <v>5</v>
      </c>
      <c r="C30" t="s">
        <v>91</v>
      </c>
      <c r="D30">
        <v>18</v>
      </c>
    </row>
    <row r="31" spans="1:12">
      <c r="A31" t="s">
        <v>80</v>
      </c>
      <c r="B31">
        <f>23-COUNTIF(E:E,"Unknown")</f>
        <v>7</v>
      </c>
      <c r="C31" t="s">
        <v>92</v>
      </c>
      <c r="D31">
        <v>16</v>
      </c>
    </row>
    <row r="33" spans="1:4">
      <c r="A33" t="s">
        <v>81</v>
      </c>
      <c r="B33">
        <v>2</v>
      </c>
      <c r="C33" t="s">
        <v>86</v>
      </c>
      <c r="D33">
        <v>2</v>
      </c>
    </row>
    <row r="34" spans="1:4">
      <c r="A34" t="s">
        <v>82</v>
      </c>
      <c r="B34">
        <v>3</v>
      </c>
      <c r="C34" t="s">
        <v>87</v>
      </c>
      <c r="D34">
        <v>5</v>
      </c>
    </row>
    <row r="36" spans="1:4">
      <c r="A36" t="s">
        <v>93</v>
      </c>
      <c r="C36">
        <v>8</v>
      </c>
    </row>
    <row r="37" spans="1:4">
      <c r="A37" t="s">
        <v>94</v>
      </c>
      <c r="C37">
        <v>10</v>
      </c>
    </row>
    <row r="40" spans="1:4">
      <c r="A40" t="s">
        <v>83</v>
      </c>
      <c r="B40">
        <f>23-COUNTIF(G1:G24,"Unknown")</f>
        <v>13</v>
      </c>
    </row>
    <row r="41" spans="1:4">
      <c r="A41" t="s">
        <v>84</v>
      </c>
      <c r="B41">
        <v>10</v>
      </c>
    </row>
    <row r="42" spans="1:4">
      <c r="A42" t="s">
        <v>85</v>
      </c>
      <c r="B42">
        <v>3</v>
      </c>
    </row>
    <row r="44" spans="1:4">
      <c r="A44" t="s">
        <v>95</v>
      </c>
      <c r="B44">
        <f>(B33/B27)*100</f>
        <v>20</v>
      </c>
    </row>
    <row r="45" spans="1:4">
      <c r="A45" t="s">
        <v>96</v>
      </c>
      <c r="B45">
        <f>(B34/B26)*100</f>
        <v>23.076923076923077</v>
      </c>
    </row>
  </sheetData>
  <pageMargins left="0.75" right="0.75" top="1" bottom="1" header="0.5" footer="0.5"/>
  <pageSetup orientation="portrait" horizontalDpi="0" verticalDpi="0"/>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femaleTrialsOldBaileyOpenRefine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Iqbal Alibhai</dc:creator>
  <cp:lastModifiedBy>Iqbal Alibhai</cp:lastModifiedBy>
  <dcterms:created xsi:type="dcterms:W3CDTF">2022-06-18T01:14:24Z</dcterms:created>
  <dcterms:modified xsi:type="dcterms:W3CDTF">2022-06-18T02:14:56Z</dcterms:modified>
</cp:coreProperties>
</file>